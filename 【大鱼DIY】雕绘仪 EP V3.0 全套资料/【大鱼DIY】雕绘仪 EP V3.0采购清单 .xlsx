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配件清单" sheetId="3" r:id="rId1"/>
    <sheet name="3D打印件清单" sheetId="5" r:id="rId2"/>
  </sheets>
  <calcPr calcId="152511"/>
</workbook>
</file>

<file path=xl/calcChain.xml><?xml version="1.0" encoding="utf-8"?>
<calcChain xmlns="http://schemas.openxmlformats.org/spreadsheetml/2006/main">
  <c r="G8" i="3" l="1"/>
  <c r="G43" i="3" l="1"/>
  <c r="G26" i="3" l="1"/>
  <c r="G27" i="3"/>
  <c r="G28" i="3"/>
  <c r="G41" i="3"/>
  <c r="G40" i="3"/>
  <c r="G32" i="3"/>
  <c r="G25" i="3"/>
  <c r="G23" i="3"/>
  <c r="G11" i="3"/>
  <c r="G7" i="3"/>
  <c r="G6" i="3"/>
  <c r="G44" i="3" l="1"/>
  <c r="G31" i="3" l="1"/>
  <c r="G38" i="3" l="1"/>
  <c r="G22" i="3" l="1"/>
  <c r="G20" i="3" l="1"/>
  <c r="G36" i="3" l="1"/>
  <c r="G42" i="3"/>
  <c r="G39" i="3"/>
  <c r="G29" i="3"/>
  <c r="G21" i="3"/>
  <c r="G15" i="3"/>
  <c r="G16" i="3"/>
  <c r="G17" i="3"/>
  <c r="G18" i="3"/>
  <c r="G19" i="3"/>
  <c r="G13" i="3"/>
  <c r="G12" i="3"/>
  <c r="G10" i="3"/>
  <c r="G33" i="3" l="1"/>
  <c r="G35" i="3" l="1"/>
  <c r="G24" i="3" l="1"/>
  <c r="G37" i="3" l="1"/>
  <c r="G34" i="3"/>
  <c r="G9" i="3"/>
  <c r="G45" i="3" l="1"/>
  <c r="G30" i="3"/>
  <c r="G14" i="3"/>
  <c r="G46" i="3" l="1"/>
</calcChain>
</file>

<file path=xl/sharedStrings.xml><?xml version="1.0" encoding="utf-8"?>
<sst xmlns="http://schemas.openxmlformats.org/spreadsheetml/2006/main" count="116" uniqueCount="115">
  <si>
    <t>序号</t>
    <phoneticPr fontId="1" type="noConversion"/>
  </si>
  <si>
    <t>名称</t>
    <phoneticPr fontId="1" type="noConversion"/>
  </si>
  <si>
    <t>数量</t>
    <phoneticPr fontId="1" type="noConversion"/>
  </si>
  <si>
    <t>单价</t>
    <phoneticPr fontId="1" type="noConversion"/>
  </si>
  <si>
    <t>总价</t>
    <phoneticPr fontId="1" type="noConversion"/>
  </si>
  <si>
    <t>链接</t>
    <phoneticPr fontId="1" type="noConversion"/>
  </si>
  <si>
    <t>运费</t>
    <phoneticPr fontId="1" type="noConversion"/>
  </si>
  <si>
    <t>备注</t>
    <phoneticPr fontId="1" type="noConversion"/>
  </si>
  <si>
    <t>规格</t>
    <phoneticPr fontId="1" type="noConversion"/>
  </si>
  <si>
    <t>内六角平圆头螺钉</t>
    <phoneticPr fontId="1" type="noConversion"/>
  </si>
  <si>
    <t>合计:</t>
    <phoneticPr fontId="1" type="noConversion"/>
  </si>
  <si>
    <t>如有遗漏或错误，麻烦您联系我更正，谢谢！
QQ：88910246</t>
    <phoneticPr fontId="1" type="noConversion"/>
  </si>
  <si>
    <t>橡胶脚垫</t>
    <phoneticPr fontId="1" type="noConversion"/>
  </si>
  <si>
    <t>郑重声明</t>
    <phoneticPr fontId="1" type="noConversion"/>
  </si>
  <si>
    <t>个别奸商篡改清单内容发到其他渠道，高价出售零部件的行为当真缺德，一经发现必定曝光！</t>
    <phoneticPr fontId="1" type="noConversion"/>
  </si>
  <si>
    <t>M3×8</t>
    <phoneticPr fontId="1" type="noConversion"/>
  </si>
  <si>
    <t>一字铝合金连接件</t>
    <phoneticPr fontId="1" type="noConversion"/>
  </si>
  <si>
    <t>2020型-2孔</t>
    <phoneticPr fontId="1" type="noConversion"/>
  </si>
  <si>
    <t>https://item.taobao.com/item.htm?id=538777574566&amp;spm=2015.23436601.0.0&amp;qq-pf-to=pcqq.c2c</t>
    <phoneticPr fontId="1" type="noConversion"/>
  </si>
  <si>
    <t>https://item.taobao.com/item.htm?spm=a1z09.2.0.0.bbac2e8dMJDKzb&amp;id=533716881777&amp;_u=o208d75pet0fce</t>
    <phoneticPr fontId="1" type="noConversion"/>
  </si>
  <si>
    <t>其他与铝型材连接的地方均用此规格</t>
    <phoneticPr fontId="1" type="noConversion"/>
  </si>
  <si>
    <t>20型材M5
建议多买几个备用</t>
    <phoneticPr fontId="1" type="noConversion"/>
  </si>
  <si>
    <t>20型材M3
建议多买几个备用</t>
    <phoneticPr fontId="1" type="noConversion"/>
  </si>
  <si>
    <t>https://detail.tmall.com/item.htm?id=627006937881&amp;spm=a1z09.2.0.0.183b2e8dy1SAgH&amp;_u=f208d75petaf6c</t>
    <phoneticPr fontId="1" type="noConversion"/>
  </si>
  <si>
    <t>20*20*22</t>
    <phoneticPr fontId="1" type="noConversion"/>
  </si>
  <si>
    <t>步进电机</t>
    <phoneticPr fontId="1" type="noConversion"/>
  </si>
  <si>
    <t>https://item.taobao.com/item.htm?spm=a1z10.5-c-s.w4002-21750521464.11.20bd7ca6qJRAo5&amp;id=583578061112</t>
    <phoneticPr fontId="1" type="noConversion"/>
  </si>
  <si>
    <t>叫卖家
换XH2.54配线</t>
    <phoneticPr fontId="1" type="noConversion"/>
  </si>
  <si>
    <t>X、Y、Z各一个</t>
    <phoneticPr fontId="1" type="noConversion"/>
  </si>
  <si>
    <t>同步轮</t>
    <phoneticPr fontId="1" type="noConversion"/>
  </si>
  <si>
    <t>https://item.taobao.com/item.htm?spm=a1z09.2.0.0.4b242e8db8Qx42&amp;id=571029008660&amp;_u=7208d75pete159</t>
    <phoneticPr fontId="1" type="noConversion"/>
  </si>
  <si>
    <t>20齿内孔5带宽6</t>
    <phoneticPr fontId="1" type="noConversion"/>
  </si>
  <si>
    <t>惰轮</t>
    <phoneticPr fontId="1" type="noConversion"/>
  </si>
  <si>
    <t>https://item.taobao.com/item.htm?spm=a1z09.2.0.0.4b242e8db8Qx42&amp;id=572126642416&amp;_u=7208d75petf8e0</t>
    <phoneticPr fontId="1" type="noConversion"/>
  </si>
  <si>
    <t>同步带</t>
    <phoneticPr fontId="1" type="noConversion"/>
  </si>
  <si>
    <t>https://item.taobao.com/item.htm?spm=a1z10.3-c-s.w4002-21750521459.18.487f70afZvFDvG&amp;id=572171792144</t>
    <phoneticPr fontId="1" type="noConversion"/>
  </si>
  <si>
    <t>GT2-6mm
5米/卷</t>
    <phoneticPr fontId="1" type="noConversion"/>
  </si>
  <si>
    <t>https://item.taobao.com/item.htm?spm=a1z10.5-c-s.w4002-21750521464.11.d30b5a06U6bjfL&amp;id=587701799288</t>
    <phoneticPr fontId="1" type="noConversion"/>
  </si>
  <si>
    <t>气动接头</t>
    <phoneticPr fontId="1" type="noConversion"/>
  </si>
  <si>
    <t>M5×8</t>
    <phoneticPr fontId="1" type="noConversion"/>
  </si>
  <si>
    <t>内六角沉头螺钉</t>
    <phoneticPr fontId="1" type="noConversion"/>
  </si>
  <si>
    <t>M5×30</t>
    <phoneticPr fontId="1" type="noConversion"/>
  </si>
  <si>
    <t>https://detail.tmall.com/item.htm?spm=a1z10.3-b.w4011-14789405706.84.38c037bah275QG&amp;id=636577427255&amp;rn=3721f09883d14d99b1ded4f07e1a1ee0&amp;abbucket=10</t>
    <phoneticPr fontId="1" type="noConversion"/>
  </si>
  <si>
    <t>M5</t>
    <phoneticPr fontId="1" type="noConversion"/>
  </si>
  <si>
    <t>https://detail.tmall.com/item.htm?spm=a1z10.5-b.w4011-14789417929.125.fd763750TPI7Ga&amp;id=617471305504&amp;rn=0ebab8e607dd6ac198b7a54f02991a2e&amp;abbucket=10</t>
    <phoneticPr fontId="1" type="noConversion"/>
  </si>
  <si>
    <t>安装脚垫</t>
    <phoneticPr fontId="1" type="noConversion"/>
  </si>
  <si>
    <t>视频教程</t>
    <phoneticPr fontId="1" type="noConversion"/>
  </si>
  <si>
    <t>四氟管</t>
    <phoneticPr fontId="1" type="noConversion"/>
  </si>
  <si>
    <t>https://item.taobao.com/item.htm?spm=a1z10.3-c-s.w4002-21750521459.12.63c470afNssdnO&amp;id=571882929438</t>
    <phoneticPr fontId="1" type="noConversion"/>
  </si>
  <si>
    <t>2*4白色</t>
    <phoneticPr fontId="1" type="noConversion"/>
  </si>
  <si>
    <t>https://item.taobao.com/item.htm?spm=a1z1r.7974869.0.0.269c3ad4cUHl1e&amp;id=610844048816</t>
    <phoneticPr fontId="1" type="noConversion"/>
  </si>
  <si>
    <t>电机支架</t>
    <phoneticPr fontId="1" type="noConversion"/>
  </si>
  <si>
    <t>https://detail.tmall.com/item.htm?spm=a1z10.3-b.w4011-14789405706.84.38c037bah275QG&amp;id=636577427255&amp;rn=3721f09883d14d99b1ded4f07e1a1ee0&amp;abbucket=10</t>
    <phoneticPr fontId="1" type="noConversion"/>
  </si>
  <si>
    <t>M3×6</t>
    <phoneticPr fontId="1" type="noConversion"/>
  </si>
  <si>
    <t>https://item.taobao.com/item.htm?spm=a21dvs.23580594.0.0.6ffb3d0dl68BBG&amp;ft=t&amp;id=688418653094&amp;qq-pf-to=pcqq.c2c</t>
    <phoneticPr fontId="1" type="noConversion"/>
  </si>
  <si>
    <t>1个WIFI三驱动主板</t>
    <phoneticPr fontId="1" type="noConversion"/>
  </si>
  <si>
    <r>
      <t xml:space="preserve">控制板
</t>
    </r>
    <r>
      <rPr>
        <b/>
        <sz val="12"/>
        <color rgb="FFFF0000"/>
        <rFont val="思源宋体 CN"/>
        <family val="1"/>
        <charset val="128"/>
      </rPr>
      <t/>
    </r>
    <phoneticPr fontId="1" type="noConversion"/>
  </si>
  <si>
    <t>电源适配器</t>
    <phoneticPr fontId="1" type="noConversion"/>
  </si>
  <si>
    <t>338mm长
X方向</t>
    <phoneticPr fontId="1" type="noConversion"/>
  </si>
  <si>
    <t>460mm长
Y方向</t>
    <phoneticPr fontId="1" type="noConversion"/>
  </si>
  <si>
    <t xml:space="preserve">   行程范围：220mm×300mm，以下所有东西均可在淘宝找同规格产品，自己选择。</t>
    <phoneticPr fontId="1" type="noConversion"/>
  </si>
  <si>
    <t>https://www.bilibili.com/video/BV1cK411X7aa/</t>
    <phoneticPr fontId="1" type="noConversion"/>
  </si>
  <si>
    <t xml:space="preserve">
欧标2020 铝型材</t>
    <phoneticPr fontId="1" type="noConversion"/>
  </si>
  <si>
    <t>欧标1020铝型材</t>
    <phoneticPr fontId="1" type="noConversion"/>
  </si>
  <si>
    <t>https://item.taobao.com/item.htm?spm=a1z10.3-c-s.w4002-23166866487.9.253e27b9VWtYBR&amp;id=628103627886</t>
    <phoneticPr fontId="1" type="noConversion"/>
  </si>
  <si>
    <t>300mm长</t>
    <phoneticPr fontId="1" type="noConversion"/>
  </si>
  <si>
    <t>仅线轨和控制盒使用，每根线轨3~4个即可，也可多装两个</t>
    <phoneticPr fontId="1" type="noConversion"/>
  </si>
  <si>
    <t>https://item.taobao.com/item.htm?spm=a1z10.5-c-s.w4002-24186553506.11.23c31a24d9cvuw&amp;id=15146235453</t>
    <phoneticPr fontId="1" type="noConversion"/>
  </si>
  <si>
    <t>T型螺母</t>
    <phoneticPr fontId="1" type="noConversion"/>
  </si>
  <si>
    <t>20齿内孔5带宽6
带齿</t>
    <phoneticPr fontId="1" type="noConversion"/>
  </si>
  <si>
    <t>轴承</t>
    <phoneticPr fontId="1" type="noConversion"/>
  </si>
  <si>
    <t>https://item.taobao.com/item.htm?spm=a1z09.2.0.0.de352e8djNjmkk&amp;id=650278182280&amp;_u=k208d75pet1309</t>
    <phoneticPr fontId="1" type="noConversion"/>
  </si>
  <si>
    <t>F695ZZ</t>
    <phoneticPr fontId="1" type="noConversion"/>
  </si>
  <si>
    <t>PC4-M6直通</t>
    <phoneticPr fontId="1" type="noConversion"/>
  </si>
  <si>
    <t>https://item.taobao.com/item.htm?spm=a1z10.3-c-s.w4002-21750521459.15.79ee70af36oROH&amp;id=594071400687</t>
    <phoneticPr fontId="1" type="noConversion"/>
  </si>
  <si>
    <t>https://item.taobao.com/item.htm?spm=a1z10.3-c-s.w4002-21750521459.9.7ea170af8p6ygO&amp;id=608843333546</t>
    <phoneticPr fontId="1" type="noConversion"/>
  </si>
  <si>
    <t>隔离柱</t>
    <phoneticPr fontId="1" type="noConversion"/>
  </si>
  <si>
    <t>内径5外径10高度9</t>
    <phoneticPr fontId="1" type="noConversion"/>
  </si>
  <si>
    <t>https://item.taobao.com/item.htm?spm=a1z09.2.0.0.de352e8djNjmkk&amp;id=38249923295&amp;_u=k208d75pet711d</t>
    <phoneticPr fontId="1" type="noConversion"/>
  </si>
  <si>
    <t>黄铜垫片</t>
    <phoneticPr fontId="1" type="noConversion"/>
  </si>
  <si>
    <t>5*8*1</t>
    <phoneticPr fontId="1" type="noConversion"/>
  </si>
  <si>
    <t>六角放松螺母</t>
    <phoneticPr fontId="1" type="noConversion"/>
  </si>
  <si>
    <t>M3×12</t>
    <phoneticPr fontId="1" type="noConversion"/>
  </si>
  <si>
    <t>M3×20</t>
    <phoneticPr fontId="1" type="noConversion"/>
  </si>
  <si>
    <t>M3×10</t>
    <phoneticPr fontId="1" type="noConversion"/>
  </si>
  <si>
    <t>M5×10</t>
    <phoneticPr fontId="1" type="noConversion"/>
  </si>
  <si>
    <t>固定步进电机支架和一字连接板</t>
    <phoneticPr fontId="1" type="noConversion"/>
  </si>
  <si>
    <t>M5×20</t>
    <phoneticPr fontId="1" type="noConversion"/>
  </si>
  <si>
    <t>https://detail.tmall.com/item.htm?_u=k208d75pet4f3a&amp;id=534828257082&amp;spm=a1z09.2.0.0.de352e8djNjmkk</t>
    <phoneticPr fontId="1" type="noConversion"/>
  </si>
  <si>
    <t>https://item.taobao.com/item.htm?spm=a1z09.2.0.0.de352e8djNjmkk&amp;id=585184846685&amp;_u=k208d75peta1cb</t>
    <phoneticPr fontId="1" type="noConversion"/>
  </si>
  <si>
    <t>12V10A</t>
    <phoneticPr fontId="1" type="noConversion"/>
  </si>
  <si>
    <t>M5×16</t>
    <phoneticPr fontId="1" type="noConversion"/>
  </si>
  <si>
    <t>方形螺母</t>
    <phoneticPr fontId="1" type="noConversion"/>
  </si>
  <si>
    <t>M3</t>
    <phoneticPr fontId="1" type="noConversion"/>
  </si>
  <si>
    <t>https://detail.tmall.com/item.htm?abbucket=4&amp;id=542282923317&amp;rn=10e1c87e51eacfc11ce48d4c87209245&amp;spm=a1z10.3-b.w4011-14789405706.41.a0dd37bazf7O9V&amp;skuId=3422524066282</t>
    <phoneticPr fontId="1" type="noConversion"/>
  </si>
  <si>
    <t>手拧螺钉</t>
    <phoneticPr fontId="1" type="noConversion"/>
  </si>
  <si>
    <t>https://detail.tmall.com/item.htm?_u=k208d75pet9038&amp;id=659161030551&amp;spm=a1z09.2.0.0.de352e8dF2PwEX</t>
    <phoneticPr fontId="1" type="noConversion"/>
  </si>
  <si>
    <t>M3×16</t>
    <phoneticPr fontId="1" type="noConversion"/>
  </si>
  <si>
    <t>弹簧</t>
    <phoneticPr fontId="1" type="noConversion"/>
  </si>
  <si>
    <t>钢丝（蘑菇头）</t>
    <phoneticPr fontId="1" type="noConversion"/>
  </si>
  <si>
    <t>紧定螺钉</t>
    <phoneticPr fontId="1" type="noConversion"/>
  </si>
  <si>
    <t>M8×6</t>
    <phoneticPr fontId="1" type="noConversion"/>
  </si>
  <si>
    <t>https://detail.tmall.com/item.htm?_u=k208d75pet437f&amp;id=638821678552&amp;spm=a1z09.2.0.0.de352e8dF2PwEX</t>
    <phoneticPr fontId="1" type="noConversion"/>
  </si>
  <si>
    <t>https://detail.tmall.com/item.htm?_u=k208d75pet6b16&amp;id=575363698316&amp;spm=a1z09.2.0.0.de352e8dF2PwEX</t>
    <phoneticPr fontId="1" type="noConversion"/>
  </si>
  <si>
    <t>0.3×4×20</t>
    <phoneticPr fontId="1" type="noConversion"/>
  </si>
  <si>
    <t>https://detail.tmall.com/item.htm?_u=k208d75pet26f2&amp;id=591067070623&amp;skuId=4053931316266&amp;spm=a1z09.2.0.0.de352e8dF2PwEX</t>
    <phoneticPr fontId="1" type="noConversion"/>
  </si>
  <si>
    <t>公路刹车（基础款）</t>
    <phoneticPr fontId="1" type="noConversion"/>
  </si>
  <si>
    <t>【大鱼DIY】雕绘仪EP V3.0采购清单</t>
    <phoneticPr fontId="1" type="noConversion"/>
  </si>
  <si>
    <t>3D打印零件</t>
    <phoneticPr fontId="1" type="noConversion"/>
  </si>
  <si>
    <t>尽量群里找人打，也可以找我打（如果有时间的话）。</t>
    <phoneticPr fontId="1" type="noConversion"/>
  </si>
  <si>
    <t>总计约120g
市场价2~3毛/克</t>
    <phoneticPr fontId="1" type="noConversion"/>
  </si>
  <si>
    <t>MGN9滑轨55mm长+9C滑块</t>
    <phoneticPr fontId="1" type="noConversion"/>
  </si>
  <si>
    <t>MGN12滑轨350mm长+
12H滑块</t>
    <phoneticPr fontId="1" type="noConversion"/>
  </si>
  <si>
    <t>MGN12滑轨270mm长+
12H滑块</t>
    <phoneticPr fontId="1" type="noConversion"/>
  </si>
  <si>
    <r>
      <t xml:space="preserve">线轨
</t>
    </r>
    <r>
      <rPr>
        <b/>
        <sz val="12"/>
        <color rgb="FFFF0000"/>
        <rFont val="宋体"/>
        <family val="3"/>
        <charset val="134"/>
        <scheme val="minor"/>
      </rPr>
      <t>报我名字打9折（153元）
可找卖家免费做防锈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</si>
</sst>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36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1"/>
      <color theme="1"/>
      <name val="思源宋体 CN"/>
      <family val="1"/>
      <charset val="134"/>
    </font>
    <font>
      <b/>
      <sz val="12"/>
      <color theme="1"/>
      <name val="思源宋体 CN"/>
      <family val="1"/>
      <charset val="134"/>
    </font>
    <font>
      <b/>
      <sz val="12"/>
      <color rgb="FFFF0000"/>
      <name val="思源宋体 CN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Fill="1" applyBorder="1" applyAlignment="1">
      <alignment vertical="center" wrapText="1"/>
    </xf>
    <xf numFmtId="0" fontId="0" fillId="0" borderId="0" xfId="0" applyBorder="1"/>
    <xf numFmtId="0" fontId="5" fillId="0" borderId="0" xfId="0" applyFont="1" applyBorder="1"/>
    <xf numFmtId="0" fontId="0" fillId="0" borderId="9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4" xfId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1" applyBorder="1" applyAlignment="1">
      <alignment horizontal="left" vertical="center" wrapText="1"/>
    </xf>
    <xf numFmtId="0" fontId="3" fillId="0" borderId="5" xfId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6" xfId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1" applyBorder="1" applyAlignment="1">
      <alignment horizontal="left" vertical="center" wrapText="1"/>
    </xf>
    <xf numFmtId="0" fontId="3" fillId="0" borderId="5" xfId="1" applyFill="1" applyBorder="1" applyAlignment="1">
      <alignment horizontal="left" vertical="center" wrapText="1"/>
    </xf>
    <xf numFmtId="0" fontId="3" fillId="0" borderId="7" xfId="1" applyFill="1" applyBorder="1" applyAlignment="1">
      <alignment horizontal="left" vertical="center" wrapText="1"/>
    </xf>
    <xf numFmtId="0" fontId="3" fillId="0" borderId="6" xfId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3" fillId="3" borderId="16" xfId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5" xfId="1" applyBorder="1" applyAlignment="1">
      <alignment horizontal="left" vertical="center" wrapText="1"/>
    </xf>
    <xf numFmtId="0" fontId="3" fillId="0" borderId="6" xfId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8</xdr:row>
      <xdr:rowOff>425871</xdr:rowOff>
    </xdr:from>
    <xdr:to>
      <xdr:col>1</xdr:col>
      <xdr:colOff>1876425</xdr:colOff>
      <xdr:row>9</xdr:row>
      <xdr:rowOff>820718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826296"/>
          <a:ext cx="1276350" cy="1404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656371</xdr:colOff>
      <xdr:row>33</xdr:row>
      <xdr:rowOff>27886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6828571" cy="5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10.3-c-s.w4002-21750521459.18.487f70afZvFDvG&amp;id=572171792144" TargetMode="External"/><Relationship Id="rId13" Type="http://schemas.openxmlformats.org/officeDocument/2006/relationships/hyperlink" Target="https://item.taobao.com/item.htm?spm=a1z10.3-c-s.w4002-21750521459.12.63c470afNssdnO&amp;id=571882929438" TargetMode="External"/><Relationship Id="rId18" Type="http://schemas.openxmlformats.org/officeDocument/2006/relationships/hyperlink" Target="https://item.taobao.com/item.htm?spm=a1z09.2.0.0.de352e8djNjmkk&amp;id=650278182280&amp;_u=k208d75pet1309" TargetMode="External"/><Relationship Id="rId26" Type="http://schemas.openxmlformats.org/officeDocument/2006/relationships/hyperlink" Target="https://detail.tmall.com/item.htm?_u=k208d75pet437f&amp;id=638821678552&amp;spm=a1z09.2.0.0.de352e8dF2PwEX" TargetMode="External"/><Relationship Id="rId3" Type="http://schemas.openxmlformats.org/officeDocument/2006/relationships/hyperlink" Target="https://item.taobao.com/item.htm?spm=a1z09.2.0.0.bbac2e8dMJDKzb&amp;id=533716881777&amp;_u=o208d75pet0fce" TargetMode="External"/><Relationship Id="rId21" Type="http://schemas.openxmlformats.org/officeDocument/2006/relationships/hyperlink" Target="https://item.taobao.com/item.htm?spm=a1z09.2.0.0.de352e8djNjmkk&amp;id=38249923295&amp;_u=k208d75pet711d" TargetMode="External"/><Relationship Id="rId7" Type="http://schemas.openxmlformats.org/officeDocument/2006/relationships/hyperlink" Target="https://item.taobao.com/item.htm?spm=a1z09.2.0.0.4b242e8db8Qx42&amp;id=572126642416&amp;_u=7208d75petf8e0" TargetMode="External"/><Relationship Id="rId12" Type="http://schemas.openxmlformats.org/officeDocument/2006/relationships/hyperlink" Target="https://detail.tmall.com/item.htm?spm=a1z10.3-b.w4011-14789405706.84.38c037bah275QG&amp;id=636577427255&amp;rn=3721f09883d14d99b1ded4f07e1a1ee0&amp;abbucket=10" TargetMode="External"/><Relationship Id="rId17" Type="http://schemas.openxmlformats.org/officeDocument/2006/relationships/hyperlink" Target="https://item.taobao.com/item.htm?spm=a1z10.5-c-s.w4002-24186553506.11.23c31a24d9cvuw&amp;id=15146235453" TargetMode="External"/><Relationship Id="rId25" Type="http://schemas.openxmlformats.org/officeDocument/2006/relationships/hyperlink" Target="https://detail.tmall.com/item.htm?_u=k208d75pet9038&amp;id=659161030551&amp;spm=a1z09.2.0.0.de352e8dF2PwEX" TargetMode="External"/><Relationship Id="rId2" Type="http://schemas.openxmlformats.org/officeDocument/2006/relationships/hyperlink" Target="https://detail.tmall.com/item.htm?id=627006937881&amp;spm=a1z09.2.0.0.183b2e8dy1SAgH&amp;_u=f208d75petaf6c" TargetMode="External"/><Relationship Id="rId16" Type="http://schemas.openxmlformats.org/officeDocument/2006/relationships/hyperlink" Target="https://item.taobao.com/item.htm?spm=a1z10.3-c-s.w4002-23166866487.9.253e27b9VWtYBR&amp;id=628103627886" TargetMode="External"/><Relationship Id="rId20" Type="http://schemas.openxmlformats.org/officeDocument/2006/relationships/hyperlink" Target="https://item.taobao.com/item.htm?spm=a1z10.3-c-s.w4002-21750521459.9.7ea170af8p6ygO&amp;id=608843333546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spm=a1z1r.7974869.0.0.269c3ad4cUHl1e&amp;id=610844048816" TargetMode="External"/><Relationship Id="rId6" Type="http://schemas.openxmlformats.org/officeDocument/2006/relationships/hyperlink" Target="https://item.taobao.com/item.htm?spm=a1z09.2.0.0.4b242e8db8Qx42&amp;id=571029008660&amp;_u=7208d75pete159" TargetMode="External"/><Relationship Id="rId11" Type="http://schemas.openxmlformats.org/officeDocument/2006/relationships/hyperlink" Target="https://detail.tmall.com/item.htm?spm=a1z10.5-b.w4011-14789417929.125.fd763750TPI7Ga&amp;id=617471305504&amp;rn=0ebab8e607dd6ac198b7a54f02991a2e&amp;abbucket=10" TargetMode="External"/><Relationship Id="rId24" Type="http://schemas.openxmlformats.org/officeDocument/2006/relationships/hyperlink" Target="https://detail.tmall.com/item.htm?abbucket=4&amp;id=542282923317&amp;rn=10e1c87e51eacfc11ce48d4c87209245&amp;spm=a1z10.3-b.w4011-14789405706.41.a0dd37bazf7O9V&amp;skuId=3422524066282" TargetMode="External"/><Relationship Id="rId5" Type="http://schemas.openxmlformats.org/officeDocument/2006/relationships/hyperlink" Target="https://item.taobao.com/item.htm?spm=a1z10.5-c-s.w4002-21750521464.11.20bd7ca6qJRAo5&amp;id=583578061112" TargetMode="External"/><Relationship Id="rId15" Type="http://schemas.openxmlformats.org/officeDocument/2006/relationships/hyperlink" Target="https://www.bilibili.com/video/BV1cK411X7aa/" TargetMode="External"/><Relationship Id="rId23" Type="http://schemas.openxmlformats.org/officeDocument/2006/relationships/hyperlink" Target="https://item.taobao.com/item.htm?spm=a1z09.2.0.0.de352e8djNjmkk&amp;id=585184846685&amp;_u=k208d75peta1cb" TargetMode="External"/><Relationship Id="rId28" Type="http://schemas.openxmlformats.org/officeDocument/2006/relationships/hyperlink" Target="https://detail.tmall.com/item.htm?_u=k208d75pet26f2&amp;id=591067070623&amp;skuId=4053931316266&amp;spm=a1z09.2.0.0.de352e8dF2PwEX" TargetMode="External"/><Relationship Id="rId10" Type="http://schemas.openxmlformats.org/officeDocument/2006/relationships/hyperlink" Target="https://detail.tmall.com/item.htm?spm=a1z10.3-b.w4011-14789405706.84.38c037bah275QG&amp;id=636577427255&amp;rn=3721f09883d14d99b1ded4f07e1a1ee0&amp;abbucket=10" TargetMode="External"/><Relationship Id="rId19" Type="http://schemas.openxmlformats.org/officeDocument/2006/relationships/hyperlink" Target="https://item.taobao.com/item.htm?spm=a1z10.3-c-s.w4002-21750521459.15.79ee70af36oROH&amp;id=594071400687" TargetMode="External"/><Relationship Id="rId4" Type="http://schemas.openxmlformats.org/officeDocument/2006/relationships/hyperlink" Target="https://item.taobao.com/item.htm?id=538777574566&amp;spm=2015.23436601.0.0&amp;qq-pf-to=pcqq.c2c" TargetMode="External"/><Relationship Id="rId9" Type="http://schemas.openxmlformats.org/officeDocument/2006/relationships/hyperlink" Target="https://item.taobao.com/item.htm?spm=a1z10.5-c-s.w4002-21750521464.11.d30b5a06U6bjfL&amp;id=587701799288" TargetMode="External"/><Relationship Id="rId14" Type="http://schemas.openxmlformats.org/officeDocument/2006/relationships/hyperlink" Target="https://item.taobao.com/item.htm?spm=a21dvs.23580594.0.0.6ffb3d0dl68BBG&amp;ft=t&amp;id=688418653094&amp;qq-pf-to=pcqq.c2c" TargetMode="External"/><Relationship Id="rId22" Type="http://schemas.openxmlformats.org/officeDocument/2006/relationships/hyperlink" Target="https://detail.tmall.com/item.htm?_u=k208d75pet4f3a&amp;id=534828257082&amp;spm=a1z09.2.0.0.de352e8djNjmkk" TargetMode="External"/><Relationship Id="rId27" Type="http://schemas.openxmlformats.org/officeDocument/2006/relationships/hyperlink" Target="https://detail.tmall.com/item.htm?_u=k208d75pet6b16&amp;id=575363698316&amp;spm=a1z09.2.0.0.de352e8dF2PwEX" TargetMode="External"/><Relationship Id="rId3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22" zoomScaleNormal="100" workbookViewId="0">
      <selection activeCell="C38" sqref="C38"/>
    </sheetView>
  </sheetViews>
  <sheetFormatPr defaultRowHeight="30" customHeight="1" x14ac:dyDescent="0.15"/>
  <cols>
    <col min="1" max="1" width="5.75" customWidth="1"/>
    <col min="2" max="2" width="33.125" style="5" customWidth="1"/>
    <col min="3" max="3" width="18.125" customWidth="1"/>
    <col min="4" max="7" width="6.625" customWidth="1"/>
    <col min="8" max="8" width="98.875" customWidth="1"/>
    <col min="9" max="9" width="55" style="1" customWidth="1"/>
  </cols>
  <sheetData>
    <row r="1" spans="1:9" ht="66" customHeight="1" x14ac:dyDescent="0.15">
      <c r="A1" s="52" t="s">
        <v>107</v>
      </c>
      <c r="B1" s="53"/>
      <c r="C1" s="53"/>
      <c r="D1" s="53"/>
      <c r="E1" s="53"/>
      <c r="F1" s="53"/>
      <c r="G1" s="53"/>
      <c r="H1" s="53"/>
      <c r="I1" s="54"/>
    </row>
    <row r="2" spans="1:9" ht="39" customHeight="1" x14ac:dyDescent="0.15">
      <c r="A2" s="61" t="s">
        <v>13</v>
      </c>
      <c r="B2" s="62"/>
      <c r="C2" s="58" t="s">
        <v>14</v>
      </c>
      <c r="D2" s="59"/>
      <c r="E2" s="59"/>
      <c r="F2" s="59"/>
      <c r="G2" s="59"/>
      <c r="H2" s="59"/>
      <c r="I2" s="60"/>
    </row>
    <row r="3" spans="1:9" ht="39" customHeight="1" x14ac:dyDescent="0.15">
      <c r="A3" s="47" t="s">
        <v>46</v>
      </c>
      <c r="B3" s="48"/>
      <c r="C3" s="49" t="s">
        <v>61</v>
      </c>
      <c r="D3" s="50"/>
      <c r="E3" s="50"/>
      <c r="F3" s="50"/>
      <c r="G3" s="50"/>
      <c r="H3" s="50"/>
      <c r="I3" s="51"/>
    </row>
    <row r="4" spans="1:9" ht="33.75" customHeight="1" x14ac:dyDescent="0.15">
      <c r="A4" s="55" t="s">
        <v>60</v>
      </c>
      <c r="B4" s="56"/>
      <c r="C4" s="56"/>
      <c r="D4" s="56"/>
      <c r="E4" s="56"/>
      <c r="F4" s="56"/>
      <c r="G4" s="56"/>
      <c r="H4" s="56"/>
      <c r="I4" s="57"/>
    </row>
    <row r="5" spans="1:9" ht="30" customHeight="1" x14ac:dyDescent="0.15">
      <c r="A5" s="11" t="s">
        <v>0</v>
      </c>
      <c r="B5" s="16" t="s">
        <v>1</v>
      </c>
      <c r="C5" s="17" t="s">
        <v>8</v>
      </c>
      <c r="D5" s="17" t="s">
        <v>2</v>
      </c>
      <c r="E5" s="17" t="s">
        <v>3</v>
      </c>
      <c r="F5" s="17" t="s">
        <v>6</v>
      </c>
      <c r="G5" s="17" t="s">
        <v>4</v>
      </c>
      <c r="H5" s="17" t="s">
        <v>5</v>
      </c>
      <c r="I5" s="23" t="s">
        <v>7</v>
      </c>
    </row>
    <row r="6" spans="1:9" ht="30" customHeight="1" x14ac:dyDescent="0.15">
      <c r="A6" s="15">
        <v>1</v>
      </c>
      <c r="B6" s="65" t="s">
        <v>114</v>
      </c>
      <c r="C6" s="2" t="s">
        <v>113</v>
      </c>
      <c r="D6" s="2">
        <v>1</v>
      </c>
      <c r="E6" s="2">
        <v>45</v>
      </c>
      <c r="F6" s="2">
        <v>0</v>
      </c>
      <c r="G6" s="2">
        <f>(D6*E6+F6)*0.9</f>
        <v>40.5</v>
      </c>
      <c r="H6" s="63" t="s">
        <v>18</v>
      </c>
      <c r="I6" s="12"/>
    </row>
    <row r="7" spans="1:9" ht="30" customHeight="1" x14ac:dyDescent="0.15">
      <c r="A7" s="15"/>
      <c r="B7" s="66"/>
      <c r="C7" s="2" t="s">
        <v>112</v>
      </c>
      <c r="D7" s="2">
        <v>2</v>
      </c>
      <c r="E7" s="2">
        <v>53</v>
      </c>
      <c r="F7" s="2">
        <v>0</v>
      </c>
      <c r="G7" s="2">
        <f>(D7*E7+F7)*0.9</f>
        <v>95.4</v>
      </c>
      <c r="H7" s="64"/>
      <c r="I7" s="12"/>
    </row>
    <row r="8" spans="1:9" ht="30" customHeight="1" x14ac:dyDescent="0.15">
      <c r="A8" s="15"/>
      <c r="B8" s="67"/>
      <c r="C8" s="2" t="s">
        <v>111</v>
      </c>
      <c r="D8" s="2">
        <v>1</v>
      </c>
      <c r="E8" s="2">
        <v>20</v>
      </c>
      <c r="F8" s="2">
        <v>0</v>
      </c>
      <c r="G8" s="2">
        <f>(D8*E8+F8)*0.9</f>
        <v>18</v>
      </c>
      <c r="H8" s="40"/>
      <c r="I8" s="12"/>
    </row>
    <row r="9" spans="1:9" ht="79.5" customHeight="1" x14ac:dyDescent="0.15">
      <c r="A9" s="15">
        <v>2</v>
      </c>
      <c r="B9" s="42" t="s">
        <v>62</v>
      </c>
      <c r="C9" s="2" t="s">
        <v>58</v>
      </c>
      <c r="D9" s="2">
        <v>2</v>
      </c>
      <c r="E9" s="2">
        <v>4.7</v>
      </c>
      <c r="F9" s="2">
        <v>12</v>
      </c>
      <c r="G9" s="2">
        <f>D9*E9+F9</f>
        <v>21.4</v>
      </c>
      <c r="H9" s="43" t="s">
        <v>50</v>
      </c>
      <c r="I9" s="14"/>
    </row>
    <row r="10" spans="1:9" ht="78.75" customHeight="1" x14ac:dyDescent="0.15">
      <c r="A10" s="15">
        <v>3</v>
      </c>
      <c r="B10" s="42"/>
      <c r="C10" s="2" t="s">
        <v>59</v>
      </c>
      <c r="D10" s="2">
        <v>2</v>
      </c>
      <c r="E10" s="2">
        <v>6</v>
      </c>
      <c r="F10" s="2">
        <v>0</v>
      </c>
      <c r="G10" s="2">
        <f t="shared" ref="G10:G13" si="0">D10*E10+F10</f>
        <v>12</v>
      </c>
      <c r="H10" s="43"/>
      <c r="I10" s="14"/>
    </row>
    <row r="11" spans="1:9" ht="43.5" customHeight="1" x14ac:dyDescent="0.15">
      <c r="A11" s="15"/>
      <c r="B11" s="34" t="s">
        <v>63</v>
      </c>
      <c r="C11" s="2" t="s">
        <v>65</v>
      </c>
      <c r="D11" s="2">
        <v>1</v>
      </c>
      <c r="E11" s="2">
        <v>4.5</v>
      </c>
      <c r="F11" s="2">
        <v>0</v>
      </c>
      <c r="G11" s="2">
        <f t="shared" si="0"/>
        <v>4.5</v>
      </c>
      <c r="H11" s="35" t="s">
        <v>64</v>
      </c>
      <c r="I11" s="14"/>
    </row>
    <row r="12" spans="1:9" ht="43.5" customHeight="1" x14ac:dyDescent="0.15">
      <c r="A12" s="15">
        <v>10</v>
      </c>
      <c r="B12" s="41" t="s">
        <v>68</v>
      </c>
      <c r="C12" s="2" t="s">
        <v>22</v>
      </c>
      <c r="D12" s="2">
        <v>15</v>
      </c>
      <c r="E12" s="2">
        <v>0.12</v>
      </c>
      <c r="F12" s="2">
        <v>0</v>
      </c>
      <c r="G12" s="2">
        <f t="shared" si="0"/>
        <v>1.7999999999999998</v>
      </c>
      <c r="H12" s="43" t="s">
        <v>67</v>
      </c>
      <c r="I12" s="24" t="s">
        <v>66</v>
      </c>
    </row>
    <row r="13" spans="1:9" ht="43.5" customHeight="1" x14ac:dyDescent="0.15">
      <c r="A13" s="15">
        <v>11</v>
      </c>
      <c r="B13" s="41"/>
      <c r="C13" s="2" t="s">
        <v>21</v>
      </c>
      <c r="D13" s="2">
        <v>22</v>
      </c>
      <c r="E13" s="2">
        <v>9.8000000000000004E-2</v>
      </c>
      <c r="F13" s="2">
        <v>0</v>
      </c>
      <c r="G13" s="2">
        <f t="shared" si="0"/>
        <v>2.1560000000000001</v>
      </c>
      <c r="H13" s="43"/>
      <c r="I13" s="24" t="s">
        <v>20</v>
      </c>
    </row>
    <row r="14" spans="1:9" ht="30" customHeight="1" x14ac:dyDescent="0.15">
      <c r="A14" s="15">
        <v>12</v>
      </c>
      <c r="B14" s="6" t="s">
        <v>16</v>
      </c>
      <c r="C14" s="2" t="s">
        <v>17</v>
      </c>
      <c r="D14" s="2">
        <v>4</v>
      </c>
      <c r="E14" s="2">
        <v>1.2</v>
      </c>
      <c r="F14" s="2">
        <v>0</v>
      </c>
      <c r="G14" s="2">
        <f>D14*E14+F14</f>
        <v>4.8</v>
      </c>
      <c r="H14" s="3" t="s">
        <v>19</v>
      </c>
      <c r="I14" s="12"/>
    </row>
    <row r="15" spans="1:9" ht="41.25" customHeight="1" x14ac:dyDescent="0.15">
      <c r="A15" s="15">
        <v>13</v>
      </c>
      <c r="B15" s="6" t="s">
        <v>25</v>
      </c>
      <c r="C15" s="2" t="s">
        <v>27</v>
      </c>
      <c r="D15" s="2">
        <v>3</v>
      </c>
      <c r="E15" s="2">
        <v>16</v>
      </c>
      <c r="F15" s="2">
        <v>5</v>
      </c>
      <c r="G15" s="2">
        <f t="shared" ref="G15:G19" si="1">D15*E15+F15</f>
        <v>53</v>
      </c>
      <c r="H15" s="13" t="s">
        <v>26</v>
      </c>
      <c r="I15" s="24" t="s">
        <v>28</v>
      </c>
    </row>
    <row r="16" spans="1:9" ht="30" customHeight="1" x14ac:dyDescent="0.15">
      <c r="A16" s="15">
        <v>15</v>
      </c>
      <c r="B16" s="6" t="s">
        <v>29</v>
      </c>
      <c r="C16" s="2" t="s">
        <v>31</v>
      </c>
      <c r="D16" s="2">
        <v>2</v>
      </c>
      <c r="E16" s="2">
        <v>1.18</v>
      </c>
      <c r="F16" s="2">
        <v>0</v>
      </c>
      <c r="G16" s="2">
        <f t="shared" si="1"/>
        <v>2.36</v>
      </c>
      <c r="H16" s="29" t="s">
        <v>30</v>
      </c>
      <c r="I16" s="24"/>
    </row>
    <row r="17" spans="1:9" ht="30" customHeight="1" x14ac:dyDescent="0.15">
      <c r="A17" s="15">
        <v>16</v>
      </c>
      <c r="B17" s="34" t="s">
        <v>32</v>
      </c>
      <c r="C17" s="2" t="s">
        <v>69</v>
      </c>
      <c r="D17" s="2">
        <v>2</v>
      </c>
      <c r="E17" s="2">
        <v>1.9</v>
      </c>
      <c r="F17" s="2">
        <v>0</v>
      </c>
      <c r="G17" s="2">
        <f t="shared" si="1"/>
        <v>3.8</v>
      </c>
      <c r="H17" s="3" t="s">
        <v>33</v>
      </c>
      <c r="I17" s="24"/>
    </row>
    <row r="18" spans="1:9" ht="30" customHeight="1" x14ac:dyDescent="0.15">
      <c r="A18" s="15">
        <v>17</v>
      </c>
      <c r="B18" s="34" t="s">
        <v>70</v>
      </c>
      <c r="C18" s="2" t="s">
        <v>72</v>
      </c>
      <c r="D18" s="2">
        <v>20</v>
      </c>
      <c r="E18" s="2">
        <v>1.05</v>
      </c>
      <c r="F18" s="2">
        <v>0</v>
      </c>
      <c r="G18" s="2">
        <f t="shared" si="1"/>
        <v>21</v>
      </c>
      <c r="H18" s="3" t="s">
        <v>71</v>
      </c>
      <c r="I18" s="24"/>
    </row>
    <row r="19" spans="1:9" ht="30" customHeight="1" x14ac:dyDescent="0.15">
      <c r="A19" s="15">
        <v>18</v>
      </c>
      <c r="B19" s="6" t="s">
        <v>34</v>
      </c>
      <c r="C19" s="2" t="s">
        <v>36</v>
      </c>
      <c r="D19" s="2">
        <v>1</v>
      </c>
      <c r="E19" s="2">
        <v>14.62</v>
      </c>
      <c r="F19" s="2">
        <v>0</v>
      </c>
      <c r="G19" s="2">
        <f t="shared" si="1"/>
        <v>14.62</v>
      </c>
      <c r="H19" s="13" t="s">
        <v>35</v>
      </c>
      <c r="I19" s="24"/>
    </row>
    <row r="20" spans="1:9" ht="54.75" customHeight="1" x14ac:dyDescent="0.15">
      <c r="A20" s="15"/>
      <c r="B20" s="26" t="s">
        <v>47</v>
      </c>
      <c r="C20" s="2" t="s">
        <v>49</v>
      </c>
      <c r="D20" s="2">
        <v>1</v>
      </c>
      <c r="E20" s="2">
        <v>2</v>
      </c>
      <c r="F20" s="2">
        <v>0</v>
      </c>
      <c r="G20" s="2">
        <f t="shared" ref="G20:G23" si="2">D20*E20+F20</f>
        <v>2</v>
      </c>
      <c r="H20" s="3" t="s">
        <v>48</v>
      </c>
      <c r="I20" s="25"/>
    </row>
    <row r="21" spans="1:9" ht="54.75" customHeight="1" x14ac:dyDescent="0.15">
      <c r="A21" s="15">
        <v>25</v>
      </c>
      <c r="B21" s="6" t="s">
        <v>38</v>
      </c>
      <c r="C21" s="2" t="s">
        <v>73</v>
      </c>
      <c r="D21" s="2">
        <v>2</v>
      </c>
      <c r="E21" s="2">
        <v>1.2</v>
      </c>
      <c r="F21" s="2">
        <v>0</v>
      </c>
      <c r="G21" s="2">
        <f t="shared" si="2"/>
        <v>2.4</v>
      </c>
      <c r="H21" s="3" t="s">
        <v>37</v>
      </c>
      <c r="I21" s="25"/>
    </row>
    <row r="22" spans="1:9" ht="54.75" customHeight="1" x14ac:dyDescent="0.15">
      <c r="A22" s="15"/>
      <c r="B22" s="28" t="s">
        <v>51</v>
      </c>
      <c r="C22" s="2"/>
      <c r="D22" s="2">
        <v>1</v>
      </c>
      <c r="E22" s="2">
        <v>2.2000000000000002</v>
      </c>
      <c r="F22" s="2">
        <v>0</v>
      </c>
      <c r="G22" s="2">
        <f t="shared" si="2"/>
        <v>2.2000000000000002</v>
      </c>
      <c r="H22" s="3" t="s">
        <v>74</v>
      </c>
      <c r="I22" s="25"/>
    </row>
    <row r="23" spans="1:9" ht="37.5" customHeight="1" x14ac:dyDescent="0.15">
      <c r="A23" s="15"/>
      <c r="B23" s="34" t="s">
        <v>76</v>
      </c>
      <c r="C23" s="2" t="s">
        <v>77</v>
      </c>
      <c r="D23" s="2">
        <v>4</v>
      </c>
      <c r="E23" s="2">
        <v>0.6</v>
      </c>
      <c r="F23" s="2">
        <v>0</v>
      </c>
      <c r="G23" s="2">
        <f t="shared" si="2"/>
        <v>2.4</v>
      </c>
      <c r="H23" s="3" t="s">
        <v>75</v>
      </c>
      <c r="I23" s="25"/>
    </row>
    <row r="24" spans="1:9" ht="30" customHeight="1" x14ac:dyDescent="0.15">
      <c r="A24" s="15">
        <v>33</v>
      </c>
      <c r="B24" s="6" t="s">
        <v>12</v>
      </c>
      <c r="C24" s="2" t="s">
        <v>24</v>
      </c>
      <c r="D24" s="2">
        <v>4</v>
      </c>
      <c r="E24" s="2">
        <v>0.38</v>
      </c>
      <c r="F24" s="2">
        <v>3</v>
      </c>
      <c r="G24" s="2">
        <f t="shared" ref="G24:G29" si="3">D24*E24+F24</f>
        <v>4.5199999999999996</v>
      </c>
      <c r="H24" s="7" t="s">
        <v>23</v>
      </c>
      <c r="I24" s="4"/>
    </row>
    <row r="25" spans="1:9" ht="30" customHeight="1" x14ac:dyDescent="0.15">
      <c r="A25" s="15"/>
      <c r="B25" s="36" t="s">
        <v>79</v>
      </c>
      <c r="C25" s="2" t="s">
        <v>80</v>
      </c>
      <c r="D25" s="2">
        <v>24</v>
      </c>
      <c r="E25" s="2">
        <v>0.1</v>
      </c>
      <c r="F25" s="2">
        <v>0</v>
      </c>
      <c r="G25" s="2">
        <f t="shared" si="3"/>
        <v>2.4000000000000004</v>
      </c>
      <c r="H25" s="38" t="s">
        <v>78</v>
      </c>
      <c r="I25" s="4"/>
    </row>
    <row r="26" spans="1:9" ht="30" customHeight="1" x14ac:dyDescent="0.15">
      <c r="A26" s="15"/>
      <c r="B26" s="36" t="s">
        <v>98</v>
      </c>
      <c r="C26" s="2" t="s">
        <v>104</v>
      </c>
      <c r="D26" s="2">
        <v>1</v>
      </c>
      <c r="E26" s="2">
        <v>0.5</v>
      </c>
      <c r="F26" s="2">
        <v>0</v>
      </c>
      <c r="G26" s="2">
        <f t="shared" si="3"/>
        <v>0.5</v>
      </c>
      <c r="H26" s="38" t="s">
        <v>103</v>
      </c>
      <c r="I26" s="4"/>
    </row>
    <row r="27" spans="1:9" ht="30" customHeight="1" x14ac:dyDescent="0.15">
      <c r="A27" s="15"/>
      <c r="B27" s="36" t="s">
        <v>99</v>
      </c>
      <c r="C27" s="2" t="s">
        <v>106</v>
      </c>
      <c r="D27" s="2">
        <v>1</v>
      </c>
      <c r="E27" s="2">
        <v>12.9</v>
      </c>
      <c r="F27" s="2">
        <v>0</v>
      </c>
      <c r="G27" s="2">
        <f t="shared" si="3"/>
        <v>12.9</v>
      </c>
      <c r="H27" s="38" t="s">
        <v>105</v>
      </c>
      <c r="I27" s="4"/>
    </row>
    <row r="28" spans="1:9" ht="30" customHeight="1" x14ac:dyDescent="0.15">
      <c r="A28" s="15"/>
      <c r="B28" s="36" t="s">
        <v>100</v>
      </c>
      <c r="C28" s="2" t="s">
        <v>101</v>
      </c>
      <c r="D28" s="2">
        <v>1</v>
      </c>
      <c r="E28" s="2">
        <v>0.13</v>
      </c>
      <c r="F28" s="2">
        <v>0</v>
      </c>
      <c r="G28" s="2">
        <f t="shared" si="3"/>
        <v>0.13</v>
      </c>
      <c r="H28" s="38" t="s">
        <v>102</v>
      </c>
      <c r="I28" s="4"/>
    </row>
    <row r="29" spans="1:9" ht="30" customHeight="1" x14ac:dyDescent="0.15">
      <c r="A29" s="15">
        <v>37</v>
      </c>
      <c r="B29" s="36" t="s">
        <v>40</v>
      </c>
      <c r="C29" s="2" t="s">
        <v>15</v>
      </c>
      <c r="D29" s="2">
        <v>4</v>
      </c>
      <c r="E29" s="2">
        <v>0.05</v>
      </c>
      <c r="F29" s="2">
        <v>0</v>
      </c>
      <c r="G29" s="2">
        <f t="shared" si="3"/>
        <v>0.2</v>
      </c>
      <c r="H29" s="37" t="s">
        <v>44</v>
      </c>
      <c r="I29" s="4"/>
    </row>
    <row r="30" spans="1:9" ht="30" customHeight="1" x14ac:dyDescent="0.15">
      <c r="A30" s="15">
        <v>40</v>
      </c>
      <c r="B30" s="41" t="s">
        <v>9</v>
      </c>
      <c r="C30" s="2" t="s">
        <v>53</v>
      </c>
      <c r="D30" s="2">
        <v>15</v>
      </c>
      <c r="E30" s="2">
        <v>4.4999999999999998E-2</v>
      </c>
      <c r="F30" s="2">
        <v>0</v>
      </c>
      <c r="G30" s="2">
        <f t="shared" ref="G30:G44" si="4">D30*E30+F30</f>
        <v>0.67499999999999993</v>
      </c>
      <c r="H30" s="44" t="s">
        <v>52</v>
      </c>
      <c r="I30" s="4"/>
    </row>
    <row r="31" spans="1:9" ht="30" customHeight="1" x14ac:dyDescent="0.15">
      <c r="A31" s="15"/>
      <c r="B31" s="41"/>
      <c r="C31" s="2" t="s">
        <v>15</v>
      </c>
      <c r="D31" s="2">
        <v>22</v>
      </c>
      <c r="E31" s="2">
        <v>4.4999999999999998E-2</v>
      </c>
      <c r="F31" s="2">
        <v>0</v>
      </c>
      <c r="G31" s="2">
        <f t="shared" ref="G31:G32" si="5">D31*E31+F31</f>
        <v>0.99</v>
      </c>
      <c r="H31" s="45"/>
      <c r="I31" s="4"/>
    </row>
    <row r="32" spans="1:9" ht="30" customHeight="1" x14ac:dyDescent="0.15">
      <c r="A32" s="15"/>
      <c r="B32" s="41"/>
      <c r="C32" s="2" t="s">
        <v>84</v>
      </c>
      <c r="D32" s="2">
        <v>8</v>
      </c>
      <c r="E32" s="2">
        <v>0.05</v>
      </c>
      <c r="F32" s="2">
        <v>0</v>
      </c>
      <c r="G32" s="2">
        <f t="shared" si="5"/>
        <v>0.4</v>
      </c>
      <c r="H32" s="45"/>
      <c r="I32" s="4"/>
    </row>
    <row r="33" spans="1:10" ht="30" customHeight="1" x14ac:dyDescent="0.15">
      <c r="A33" s="15">
        <v>41</v>
      </c>
      <c r="B33" s="41"/>
      <c r="C33" s="2" t="s">
        <v>82</v>
      </c>
      <c r="D33" s="2">
        <v>2</v>
      </c>
      <c r="E33" s="2">
        <v>0.06</v>
      </c>
      <c r="F33" s="2">
        <v>0</v>
      </c>
      <c r="G33" s="2">
        <f t="shared" si="4"/>
        <v>0.12</v>
      </c>
      <c r="H33" s="45"/>
      <c r="I33" s="4"/>
    </row>
    <row r="34" spans="1:10" ht="30" customHeight="1" x14ac:dyDescent="0.15">
      <c r="A34" s="15">
        <v>42</v>
      </c>
      <c r="B34" s="41"/>
      <c r="C34" s="2" t="s">
        <v>83</v>
      </c>
      <c r="D34" s="2">
        <v>4</v>
      </c>
      <c r="E34" s="2">
        <v>6.8000000000000005E-2</v>
      </c>
      <c r="F34" s="2">
        <v>0</v>
      </c>
      <c r="G34" s="2">
        <f t="shared" si="4"/>
        <v>0.27200000000000002</v>
      </c>
      <c r="H34" s="45"/>
      <c r="I34" s="4"/>
    </row>
    <row r="35" spans="1:10" ht="30" customHeight="1" x14ac:dyDescent="0.15">
      <c r="A35" s="15">
        <v>45</v>
      </c>
      <c r="B35" s="41"/>
      <c r="C35" s="2" t="s">
        <v>39</v>
      </c>
      <c r="D35" s="2">
        <v>10</v>
      </c>
      <c r="E35" s="2">
        <v>0.09</v>
      </c>
      <c r="F35" s="2">
        <v>0</v>
      </c>
      <c r="G35" s="2">
        <f t="shared" ref="G35:G36" si="6">D35*E35+F35</f>
        <v>0.89999999999999991</v>
      </c>
      <c r="H35" s="45"/>
      <c r="I35" s="4" t="s">
        <v>86</v>
      </c>
    </row>
    <row r="36" spans="1:10" ht="30" customHeight="1" x14ac:dyDescent="0.15">
      <c r="A36" s="15">
        <v>46</v>
      </c>
      <c r="B36" s="41"/>
      <c r="C36" s="2" t="s">
        <v>85</v>
      </c>
      <c r="D36" s="2">
        <v>10</v>
      </c>
      <c r="E36" s="2">
        <v>0.1</v>
      </c>
      <c r="F36" s="2">
        <v>0</v>
      </c>
      <c r="G36" s="2">
        <f t="shared" si="6"/>
        <v>1</v>
      </c>
      <c r="H36" s="45"/>
      <c r="I36" s="4"/>
    </row>
    <row r="37" spans="1:10" ht="30" customHeight="1" x14ac:dyDescent="0.15">
      <c r="A37" s="15">
        <v>47</v>
      </c>
      <c r="B37" s="41"/>
      <c r="C37" s="2" t="s">
        <v>91</v>
      </c>
      <c r="D37" s="2">
        <v>4</v>
      </c>
      <c r="E37" s="2">
        <v>0.12</v>
      </c>
      <c r="F37" s="2">
        <v>0</v>
      </c>
      <c r="G37" s="2">
        <f t="shared" si="4"/>
        <v>0.48</v>
      </c>
      <c r="H37" s="46"/>
      <c r="I37" s="4" t="s">
        <v>45</v>
      </c>
    </row>
    <row r="38" spans="1:10" ht="30" customHeight="1" x14ac:dyDescent="0.15">
      <c r="A38" s="15"/>
      <c r="B38" s="41"/>
      <c r="C38" s="2" t="s">
        <v>87</v>
      </c>
      <c r="D38" s="2">
        <v>3</v>
      </c>
      <c r="E38" s="2">
        <v>0.2</v>
      </c>
      <c r="F38" s="2">
        <v>0</v>
      </c>
      <c r="G38" s="2">
        <f t="shared" ref="G38" si="7">D38*E38+F38</f>
        <v>0.60000000000000009</v>
      </c>
      <c r="H38" s="19"/>
      <c r="I38" s="4"/>
    </row>
    <row r="39" spans="1:10" ht="30" customHeight="1" x14ac:dyDescent="0.15">
      <c r="A39" s="15">
        <v>49</v>
      </c>
      <c r="B39" s="41"/>
      <c r="C39" s="2" t="s">
        <v>41</v>
      </c>
      <c r="D39" s="2">
        <v>6</v>
      </c>
      <c r="E39" s="2">
        <v>0.2</v>
      </c>
      <c r="F39" s="2">
        <v>0</v>
      </c>
      <c r="G39" s="2">
        <f t="shared" si="4"/>
        <v>1.2000000000000002</v>
      </c>
      <c r="H39" s="19" t="s">
        <v>42</v>
      </c>
      <c r="I39" s="4"/>
    </row>
    <row r="40" spans="1:10" ht="30" customHeight="1" x14ac:dyDescent="0.15">
      <c r="A40" s="15"/>
      <c r="B40" s="34" t="s">
        <v>92</v>
      </c>
      <c r="C40" s="2" t="s">
        <v>93</v>
      </c>
      <c r="D40" s="2">
        <v>9</v>
      </c>
      <c r="E40" s="2">
        <v>0.1</v>
      </c>
      <c r="F40" s="2">
        <v>0</v>
      </c>
      <c r="G40" s="2">
        <f t="shared" si="4"/>
        <v>0.9</v>
      </c>
      <c r="H40" s="19" t="s">
        <v>94</v>
      </c>
      <c r="I40" s="4"/>
    </row>
    <row r="41" spans="1:10" ht="30" customHeight="1" x14ac:dyDescent="0.15">
      <c r="A41" s="15"/>
      <c r="B41" s="34" t="s">
        <v>95</v>
      </c>
      <c r="C41" s="2" t="s">
        <v>97</v>
      </c>
      <c r="D41" s="2">
        <v>1</v>
      </c>
      <c r="E41" s="2">
        <v>1.5</v>
      </c>
      <c r="F41" s="2">
        <v>0</v>
      </c>
      <c r="G41" s="2">
        <f t="shared" si="4"/>
        <v>1.5</v>
      </c>
      <c r="H41" s="19" t="s">
        <v>96</v>
      </c>
      <c r="I41" s="4"/>
    </row>
    <row r="42" spans="1:10" ht="30" customHeight="1" x14ac:dyDescent="0.15">
      <c r="A42" s="15">
        <v>50</v>
      </c>
      <c r="B42" s="6" t="s">
        <v>81</v>
      </c>
      <c r="C42" s="2" t="s">
        <v>43</v>
      </c>
      <c r="D42" s="2">
        <v>6</v>
      </c>
      <c r="E42" s="2">
        <v>0.03</v>
      </c>
      <c r="F42" s="2">
        <v>0</v>
      </c>
      <c r="G42" s="2">
        <f t="shared" si="4"/>
        <v>0.18</v>
      </c>
      <c r="H42" s="19" t="s">
        <v>88</v>
      </c>
      <c r="I42" s="4"/>
    </row>
    <row r="43" spans="1:10" ht="43.5" customHeight="1" x14ac:dyDescent="0.15">
      <c r="A43" s="15"/>
      <c r="B43" s="39" t="s">
        <v>108</v>
      </c>
      <c r="C43" s="2" t="s">
        <v>110</v>
      </c>
      <c r="D43" s="2">
        <v>120</v>
      </c>
      <c r="E43" s="2">
        <v>0.3</v>
      </c>
      <c r="F43" s="2">
        <v>10</v>
      </c>
      <c r="G43" s="2">
        <f t="shared" si="4"/>
        <v>46</v>
      </c>
      <c r="H43" s="19" t="s">
        <v>109</v>
      </c>
      <c r="I43" s="4"/>
    </row>
    <row r="44" spans="1:10" ht="70.5" customHeight="1" x14ac:dyDescent="0.15">
      <c r="A44" s="30">
        <v>57</v>
      </c>
      <c r="B44" s="31" t="s">
        <v>56</v>
      </c>
      <c r="C44" s="32" t="s">
        <v>55</v>
      </c>
      <c r="D44" s="32">
        <v>1</v>
      </c>
      <c r="E44" s="32">
        <v>90</v>
      </c>
      <c r="F44" s="32">
        <v>10</v>
      </c>
      <c r="G44" s="32">
        <f t="shared" si="4"/>
        <v>100</v>
      </c>
      <c r="H44" s="3" t="s">
        <v>54</v>
      </c>
      <c r="I44" s="33"/>
      <c r="J44" s="33"/>
    </row>
    <row r="45" spans="1:10" ht="36.75" customHeight="1" x14ac:dyDescent="0.15">
      <c r="A45" s="2">
        <v>59</v>
      </c>
      <c r="B45" s="34" t="s">
        <v>57</v>
      </c>
      <c r="C45" s="2" t="s">
        <v>90</v>
      </c>
      <c r="D45" s="18">
        <v>1</v>
      </c>
      <c r="E45" s="18">
        <v>23</v>
      </c>
      <c r="F45" s="18">
        <v>0</v>
      </c>
      <c r="G45" s="18">
        <f t="shared" ref="G45" si="8">D45*E45+F45</f>
        <v>23</v>
      </c>
      <c r="H45" s="3" t="s">
        <v>89</v>
      </c>
      <c r="I45" s="27"/>
    </row>
    <row r="46" spans="1:10" ht="52.5" customHeight="1" thickBot="1" x14ac:dyDescent="0.2">
      <c r="A46" s="20"/>
      <c r="B46" s="21"/>
      <c r="C46" s="20"/>
      <c r="D46" s="20"/>
      <c r="E46" s="20"/>
      <c r="F46" s="8" t="s">
        <v>10</v>
      </c>
      <c r="G46" s="9">
        <f>SUM(G6:G45)</f>
        <v>503.20299999999992</v>
      </c>
      <c r="H46" s="10" t="s">
        <v>11</v>
      </c>
      <c r="I46" s="22"/>
    </row>
  </sheetData>
  <mergeCells count="14">
    <mergeCell ref="H6:H7"/>
    <mergeCell ref="B6:B8"/>
    <mergeCell ref="A3:B3"/>
    <mergeCell ref="C3:I3"/>
    <mergeCell ref="A1:I1"/>
    <mergeCell ref="A4:I4"/>
    <mergeCell ref="C2:I2"/>
    <mergeCell ref="A2:B2"/>
    <mergeCell ref="B30:B39"/>
    <mergeCell ref="B9:B10"/>
    <mergeCell ref="H9:H10"/>
    <mergeCell ref="B12:B13"/>
    <mergeCell ref="H30:H37"/>
    <mergeCell ref="H12:H13"/>
  </mergeCells>
  <phoneticPr fontId="1" type="noConversion"/>
  <hyperlinks>
    <hyperlink ref="H9" r:id="rId1"/>
    <hyperlink ref="H24" r:id="rId2"/>
    <hyperlink ref="H14" r:id="rId3"/>
    <hyperlink ref="H6" r:id="rId4"/>
    <hyperlink ref="H15" r:id="rId5"/>
    <hyperlink ref="H16" r:id="rId6"/>
    <hyperlink ref="H17" r:id="rId7"/>
    <hyperlink ref="H19" r:id="rId8"/>
    <hyperlink ref="H21" r:id="rId9"/>
    <hyperlink ref="H30" r:id="rId10"/>
    <hyperlink ref="H29" r:id="rId11"/>
    <hyperlink ref="H39" r:id="rId12"/>
    <hyperlink ref="H20" r:id="rId13"/>
    <hyperlink ref="H44" r:id="rId14"/>
    <hyperlink ref="C3" r:id="rId15"/>
    <hyperlink ref="H11" r:id="rId16"/>
    <hyperlink ref="H12" r:id="rId17"/>
    <hyperlink ref="H18" r:id="rId18"/>
    <hyperlink ref="H22" r:id="rId19"/>
    <hyperlink ref="H23" r:id="rId20"/>
    <hyperlink ref="H25" r:id="rId21"/>
    <hyperlink ref="H42" r:id="rId22"/>
    <hyperlink ref="H45" r:id="rId23"/>
    <hyperlink ref="H40" r:id="rId24"/>
    <hyperlink ref="H41" r:id="rId25"/>
    <hyperlink ref="H28" r:id="rId26"/>
    <hyperlink ref="H26" r:id="rId27"/>
    <hyperlink ref="H27" r:id="rId28"/>
  </hyperlinks>
  <pageMargins left="0.7" right="0.7" top="0.75" bottom="0.75" header="0.3" footer="0.3"/>
  <pageSetup paperSize="9" orientation="portrait" r:id="rId29"/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6" sqref="N26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配件清单</vt:lpstr>
      <vt:lpstr>3D打印件清单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2022-11-12T12:24:04Z</dcterms:modified>
</cp:coreProperties>
</file>